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motion_Merle\Paper1\BeispielsdatensatzMerle\HeOx-1xxx-sg\Synthesis\"/>
    </mc:Choice>
  </mc:AlternateContent>
  <xr:revisionPtr revIDLastSave="0" documentId="13_ncr:1_{4A35441F-5B4A-4274-9324-C5883E9F2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Ox-1" sheetId="1" r:id="rId1"/>
    <sheet name="Tabell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9" i="1" s="1"/>
  <c r="O3" i="1"/>
  <c r="O4" i="1"/>
  <c r="O5" i="1"/>
  <c r="O6" i="1"/>
  <c r="J17" i="1"/>
  <c r="J16" i="1"/>
  <c r="D4" i="1"/>
  <c r="J4" i="1" l="1"/>
  <c r="J11" i="1" s="1"/>
  <c r="G4" i="1"/>
  <c r="F4" i="1"/>
  <c r="E4" i="1"/>
  <c r="C4" i="1"/>
  <c r="G11" i="1" l="1"/>
  <c r="G12" i="1" s="1"/>
  <c r="F11" i="1"/>
  <c r="F12" i="1" s="1"/>
  <c r="E11" i="1"/>
  <c r="E12" i="1" s="1"/>
  <c r="D11" i="1"/>
  <c r="D12" i="1" s="1"/>
  <c r="C11" i="1"/>
  <c r="C12" i="1" s="1"/>
  <c r="B11" i="1"/>
  <c r="E16" i="1" l="1"/>
  <c r="E17" i="1"/>
  <c r="F16" i="1"/>
  <c r="F17" i="1"/>
  <c r="G16" i="1"/>
  <c r="G17" i="1"/>
  <c r="C21" i="1" s="1"/>
  <c r="C17" i="1"/>
  <c r="C16" i="1"/>
  <c r="D17" i="1"/>
  <c r="D16" i="1"/>
  <c r="H11" i="1"/>
  <c r="H12" i="1" s="1"/>
  <c r="B12" i="1"/>
  <c r="H16" i="1" l="1"/>
  <c r="H17" i="1"/>
  <c r="B17" i="1"/>
  <c r="B16" i="1"/>
  <c r="I11" i="1"/>
  <c r="I12" i="1" s="1"/>
  <c r="I16" i="1" l="1"/>
  <c r="I17" i="1"/>
</calcChain>
</file>

<file path=xl/sharedStrings.xml><?xml version="1.0" encoding="utf-8"?>
<sst xmlns="http://schemas.openxmlformats.org/spreadsheetml/2006/main" count="51" uniqueCount="34">
  <si>
    <r>
      <t>La(NO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)3*6H2O</t>
    </r>
    <phoneticPr fontId="5" type="noConversion"/>
  </si>
  <si>
    <t>EDTA</t>
  </si>
  <si>
    <t>Citric acid</t>
  </si>
  <si>
    <t>Molar mass [g/mol]</t>
  </si>
  <si>
    <t>Purity</t>
  </si>
  <si>
    <t>Estimated mol</t>
  </si>
  <si>
    <t>Estimated mass</t>
  </si>
  <si>
    <r>
      <t>La(NO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*6H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</si>
  <si>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Pr(NO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3*</t>
    </r>
    <r>
      <rPr>
        <b/>
        <sz val="11"/>
        <color theme="1"/>
        <rFont val="Calibri"/>
        <family val="2"/>
        <scheme val="minor"/>
      </rPr>
      <t>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</si>
  <si>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Nd(NO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*6H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</si>
  <si>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Sm(NO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*6H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</si>
  <si>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Gd(NO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*6H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</si>
  <si>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Cu(NO3)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*3H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</si>
  <si>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(La0.2Pr0.2Nd0.2Sm0.2Gd0.2)2CuO4</t>
  </si>
  <si>
    <t>La</t>
  </si>
  <si>
    <t>Pr</t>
  </si>
  <si>
    <t>Nd</t>
  </si>
  <si>
    <t>Sm</t>
  </si>
  <si>
    <t>Gd</t>
  </si>
  <si>
    <t>Cu</t>
  </si>
  <si>
    <t>O</t>
  </si>
  <si>
    <r>
      <t>Ni(NO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*6H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</si>
  <si>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50% of original</t>
  </si>
  <si>
    <t>33% of original</t>
  </si>
  <si>
    <t>for HeOx-2xxx</t>
  </si>
  <si>
    <t>sg synthesis:</t>
  </si>
  <si>
    <t>1. 200 ml water in vial heated to 90 °C while stirring (heater at 150 °C)</t>
  </si>
  <si>
    <t>2. Metal nitrates dissolved in water</t>
  </si>
  <si>
    <t>3. EDTA and then citric acid added</t>
  </si>
  <si>
    <t>4. pH value adjusted to 8-9 using ammonia</t>
  </si>
  <si>
    <t>5. 1 h stirring</t>
  </si>
  <si>
    <t>6. precalcination in heating mantle, max power, 10/10 until material glows</t>
  </si>
  <si>
    <t>7. cooling down by turning of the heating mantle</t>
  </si>
  <si>
    <t>8. calcination at 750 °C, 5 h, 2°C/min heating and cooling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</si>
</sst>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);[Red]\(0.000\)"/>
    <numFmt numFmtId="165" formatCode="0.0000_);[Red]\(0.0000\)"/>
    <numFmt numFmtId="166" formatCode="0.0000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vertAlign val="subscript"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rgb="FF006100"/>
      <name val="Arial"/>
      <family val="2"/>
    </font>
    <font>
      <b/>
      <sz val="11"/>
      <color rgb="FF006100"/>
      <name val="Calibri"/>
      <family val="2"/>
      <scheme val="minor"/>
    </font>
    <font>
      <b/>
      <sz val="12"/>
      <color rgb="FFFA7D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8" fillId="3" borderId="1" xfId="2" applyNumberFormat="1" applyAlignment="1">
      <alignment horizontal="center"/>
    </xf>
    <xf numFmtId="166" fontId="0" fillId="0" borderId="0" xfId="0" applyNumberFormat="1"/>
    <xf numFmtId="165" fontId="0" fillId="0" borderId="3" xfId="0" applyNumberFormat="1" applyBorder="1"/>
    <xf numFmtId="0" fontId="1" fillId="0" borderId="0" xfId="0" applyFont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/>
    </xf>
    <xf numFmtId="0" fontId="0" fillId="0" borderId="6" xfId="0" applyBorder="1"/>
    <xf numFmtId="9" fontId="0" fillId="0" borderId="0" xfId="0" applyNumberFormat="1"/>
    <xf numFmtId="164" fontId="8" fillId="3" borderId="1" xfId="2" applyNumberFormat="1" applyAlignment="1">
      <alignment horizontal="left" indent="6"/>
    </xf>
    <xf numFmtId="164" fontId="0" fillId="0" borderId="0" xfId="0" applyNumberFormat="1" applyAlignment="1">
      <alignment horizontal="center"/>
    </xf>
  </cellXfs>
  <cellStyles count="3">
    <cellStyle name="Berechnung" xfId="2" builtinId="22"/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topLeftCell="A10" zoomScaleNormal="100" workbookViewId="0">
      <selection activeCell="A21" sqref="A21"/>
    </sheetView>
  </sheetViews>
  <sheetFormatPr baseColWidth="10" defaultColWidth="11.42578125" defaultRowHeight="15"/>
  <cols>
    <col min="1" max="1" width="35.140625" customWidth="1"/>
    <col min="2" max="2" width="23.85546875" customWidth="1"/>
    <col min="3" max="7" width="24.85546875" customWidth="1"/>
    <col min="8" max="8" width="24" customWidth="1"/>
    <col min="9" max="9" width="21.28515625" customWidth="1"/>
    <col min="10" max="10" width="21.7109375" customWidth="1"/>
    <col min="13" max="13" width="18.85546875" customWidth="1"/>
    <col min="15" max="15" width="12.7109375" customWidth="1"/>
  </cols>
  <sheetData>
    <row r="1" spans="1:17" ht="20.100000000000001" customHeight="1">
      <c r="A1" s="1"/>
      <c r="B1" s="1"/>
      <c r="C1" s="12"/>
      <c r="D1" s="12"/>
      <c r="E1" s="12"/>
      <c r="F1" s="12"/>
      <c r="G1" s="2"/>
      <c r="H1" s="2"/>
      <c r="I1" s="2"/>
      <c r="J1" s="2"/>
      <c r="K1" s="2"/>
    </row>
    <row r="2" spans="1:17" ht="20.100000000000001" customHeight="1">
      <c r="A2" s="2"/>
      <c r="B2" s="2"/>
      <c r="C2" s="12"/>
      <c r="D2" s="12"/>
      <c r="E2" s="12"/>
      <c r="F2" s="12"/>
      <c r="G2" s="2"/>
      <c r="H2" s="2"/>
      <c r="I2" s="2"/>
      <c r="J2" s="2"/>
      <c r="K2" s="2"/>
      <c r="M2" s="12" t="s">
        <v>14</v>
      </c>
      <c r="N2" s="2">
        <v>138.91</v>
      </c>
      <c r="O2">
        <f>N2*0.2</f>
        <v>27.782</v>
      </c>
    </row>
    <row r="3" spans="1:17" ht="20.100000000000001" customHeight="1" thickBot="1">
      <c r="A3" s="3"/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</v>
      </c>
      <c r="I3" s="4" t="s">
        <v>2</v>
      </c>
      <c r="J3" s="4" t="s">
        <v>13</v>
      </c>
      <c r="M3" s="1" t="s">
        <v>15</v>
      </c>
      <c r="N3" s="2">
        <v>140.91</v>
      </c>
      <c r="O3">
        <f t="shared" ref="O3:O6" si="0">N3*0.2</f>
        <v>28.182000000000002</v>
      </c>
    </row>
    <row r="4" spans="1:17" ht="20.100000000000001" customHeight="1" thickTop="1">
      <c r="A4" s="5" t="s">
        <v>3</v>
      </c>
      <c r="B4" s="6">
        <v>433.02</v>
      </c>
      <c r="C4" s="13">
        <f>4350140*10^-4</f>
        <v>435.01400000000001</v>
      </c>
      <c r="D4" s="13">
        <f>4383480*10^-4</f>
        <v>438.34800000000001</v>
      </c>
      <c r="E4" s="13">
        <f xml:space="preserve"> 4444664*10^-4</f>
        <v>444.46640000000002</v>
      </c>
      <c r="F4" s="6">
        <f>4513564*10^-4</f>
        <v>451.35640000000001</v>
      </c>
      <c r="G4" s="6">
        <f xml:space="preserve"> 2416016*10^-4</f>
        <v>241.60160000000002</v>
      </c>
      <c r="H4" s="6">
        <v>292.24</v>
      </c>
      <c r="I4" s="6">
        <v>192.13</v>
      </c>
      <c r="J4" s="6">
        <f xml:space="preserve"> (0.2*N2 + 0.2*N3 + 0.2*N4 + 0.2*N5 + 0.2*N6)*2 + N7 + 4*N8</f>
        <v>420.21800000000002</v>
      </c>
      <c r="M4" s="12" t="s">
        <v>16</v>
      </c>
      <c r="N4" s="2">
        <v>144.24</v>
      </c>
      <c r="O4">
        <f t="shared" si="0"/>
        <v>28.848000000000003</v>
      </c>
    </row>
    <row r="5" spans="1:17" ht="20.100000000000001" customHeight="1" thickBot="1">
      <c r="A5" s="7" t="s">
        <v>4</v>
      </c>
      <c r="B5" s="8">
        <v>0.999</v>
      </c>
      <c r="C5" s="8">
        <v>0.999</v>
      </c>
      <c r="D5" s="8">
        <v>0.999</v>
      </c>
      <c r="E5" s="8">
        <v>0.999</v>
      </c>
      <c r="F5" s="8">
        <v>0.999</v>
      </c>
      <c r="G5" s="8">
        <v>0.995</v>
      </c>
      <c r="H5" s="8">
        <v>0.99399999999999999</v>
      </c>
      <c r="I5" s="8">
        <v>0.995</v>
      </c>
      <c r="J5" s="8"/>
      <c r="M5" s="12" t="s">
        <v>17</v>
      </c>
      <c r="N5" s="2">
        <v>150.36000000000001</v>
      </c>
      <c r="O5">
        <f t="shared" si="0"/>
        <v>30.072000000000003</v>
      </c>
    </row>
    <row r="6" spans="1:17" ht="20.100000000000001" customHeight="1" thickTop="1">
      <c r="M6" s="12" t="s">
        <v>18</v>
      </c>
      <c r="N6" s="2">
        <v>157.25</v>
      </c>
      <c r="O6">
        <f t="shared" si="0"/>
        <v>31.450000000000003</v>
      </c>
    </row>
    <row r="7" spans="1:17" ht="20.100000000000001" customHeight="1">
      <c r="A7" s="1"/>
      <c r="B7" s="1"/>
      <c r="M7" s="12" t="s">
        <v>19</v>
      </c>
      <c r="N7" s="2">
        <v>63.55</v>
      </c>
    </row>
    <row r="8" spans="1:17" ht="20.100000000000001" customHeight="1">
      <c r="B8" s="14"/>
      <c r="C8" s="15"/>
      <c r="D8" s="15"/>
      <c r="E8" s="15"/>
      <c r="F8" s="15"/>
      <c r="G8" s="15"/>
      <c r="H8" s="16"/>
      <c r="M8" s="12" t="s">
        <v>20</v>
      </c>
      <c r="N8" s="2">
        <v>16</v>
      </c>
    </row>
    <row r="9" spans="1:17" ht="20.100000000000001" customHeight="1">
      <c r="O9">
        <f>SUM(O2:O6)*2+N7+4*N8</f>
        <v>420.21800000000002</v>
      </c>
    </row>
    <row r="10" spans="1:17" ht="20.100000000000001" customHeight="1" thickBot="1">
      <c r="A10" s="3"/>
      <c r="B10" s="4" t="s">
        <v>0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</v>
      </c>
      <c r="I10" s="4" t="s">
        <v>2</v>
      </c>
      <c r="J10" s="4" t="s">
        <v>13</v>
      </c>
      <c r="M10" s="1"/>
      <c r="N10" s="1"/>
    </row>
    <row r="11" spans="1:17" ht="20.100000000000001" customHeight="1" thickTop="1">
      <c r="A11" s="5" t="s">
        <v>5</v>
      </c>
      <c r="B11" s="9">
        <f>0.4*J11</f>
        <v>7.6150950221075724E-3</v>
      </c>
      <c r="C11" s="9">
        <f>0.4*J11</f>
        <v>7.6150950221075724E-3</v>
      </c>
      <c r="D11" s="9">
        <f>0.4*J11</f>
        <v>7.6150950221075724E-3</v>
      </c>
      <c r="E11" s="9">
        <f>0.4*J11</f>
        <v>7.6150950221075724E-3</v>
      </c>
      <c r="F11" s="9">
        <f>0.4*J11</f>
        <v>7.6150950221075724E-3</v>
      </c>
      <c r="G11" s="9">
        <f>1*J11</f>
        <v>1.9037737555268931E-2</v>
      </c>
      <c r="H11" s="9">
        <f>SUM(B11:G11)</f>
        <v>5.7113212665806795E-2</v>
      </c>
      <c r="I11" s="9">
        <f>2*H11</f>
        <v>0.11422642533161359</v>
      </c>
      <c r="J11" s="9">
        <f>J12/$J$4</f>
        <v>1.9037737555268931E-2</v>
      </c>
      <c r="P11" s="10"/>
      <c r="Q11" s="10"/>
    </row>
    <row r="12" spans="1:17" ht="20.100000000000001" customHeight="1">
      <c r="A12" s="1" t="s">
        <v>6</v>
      </c>
      <c r="B12" s="18">
        <f>B11*$B$4/$B$5</f>
        <v>3.3007892357087294</v>
      </c>
      <c r="C12" s="18">
        <f>C11*$C$4/$C$5</f>
        <v>3.3159889348819855</v>
      </c>
      <c r="D12" s="18">
        <f>D11*$D$4/$D$5</f>
        <v>3.3414030758266371</v>
      </c>
      <c r="E12" s="18">
        <f>E11*$E$4/$E$5</f>
        <v>3.3880419120461194</v>
      </c>
      <c r="F12" s="18">
        <f>F11*$F$4/$F$5</f>
        <v>3.4405624372736678</v>
      </c>
      <c r="G12" s="18">
        <f>G11*$G$4/$G$5</f>
        <v>4.6226611595307157</v>
      </c>
      <c r="H12" s="18">
        <f>H11*$H$4/H5</f>
        <v>16.791514355588912</v>
      </c>
      <c r="I12" s="18">
        <f>I11*$I$4/I5</f>
        <v>22.056606129610973</v>
      </c>
      <c r="J12" s="19">
        <v>8</v>
      </c>
      <c r="P12" s="10"/>
      <c r="Q12" s="10"/>
    </row>
    <row r="13" spans="1:17" ht="20.100000000000001" customHeight="1" thickBot="1">
      <c r="A13" s="7"/>
      <c r="B13" s="11"/>
      <c r="C13" s="11"/>
      <c r="D13" s="11"/>
      <c r="E13" s="11"/>
      <c r="F13" s="11"/>
      <c r="G13" s="11"/>
      <c r="H13" s="11"/>
      <c r="I13" s="11"/>
      <c r="J13" s="11"/>
    </row>
    <row r="14" spans="1:17" ht="20.100000000000001" customHeight="1" thickTop="1"/>
    <row r="15" spans="1:17" ht="20.100000000000001" customHeight="1" thickBot="1">
      <c r="A15" s="3"/>
      <c r="B15" s="4" t="s">
        <v>7</v>
      </c>
      <c r="C15" s="4" t="s">
        <v>8</v>
      </c>
      <c r="D15" s="4" t="s">
        <v>9</v>
      </c>
      <c r="E15" s="4" t="s">
        <v>10</v>
      </c>
      <c r="F15" s="4" t="s">
        <v>11</v>
      </c>
      <c r="G15" s="4" t="s">
        <v>12</v>
      </c>
      <c r="H15" s="4" t="s">
        <v>1</v>
      </c>
      <c r="I15" s="4" t="s">
        <v>2</v>
      </c>
      <c r="J15" s="4" t="s">
        <v>13</v>
      </c>
    </row>
    <row r="16" spans="1:17" ht="20.100000000000001" customHeight="1" thickTop="1">
      <c r="A16" s="17" t="s">
        <v>22</v>
      </c>
      <c r="B16">
        <f>B12/2</f>
        <v>1.6503946178543647</v>
      </c>
      <c r="C16">
        <f t="shared" ref="C16:J16" si="1">C12/2</f>
        <v>1.6579944674409928</v>
      </c>
      <c r="D16">
        <f t="shared" si="1"/>
        <v>1.6707015379133185</v>
      </c>
      <c r="E16">
        <f t="shared" si="1"/>
        <v>1.6940209560230597</v>
      </c>
      <c r="F16">
        <f t="shared" si="1"/>
        <v>1.7202812186368339</v>
      </c>
      <c r="G16">
        <f t="shared" si="1"/>
        <v>2.3113305797653578</v>
      </c>
      <c r="H16">
        <f t="shared" si="1"/>
        <v>8.3957571777944562</v>
      </c>
      <c r="I16">
        <f t="shared" si="1"/>
        <v>11.028303064805486</v>
      </c>
      <c r="J16">
        <f t="shared" si="1"/>
        <v>4</v>
      </c>
    </row>
    <row r="17" spans="1:10" ht="20.100000000000001" customHeight="1">
      <c r="A17" s="17" t="s">
        <v>23</v>
      </c>
      <c r="B17">
        <f>B12/3</f>
        <v>1.1002630785695764</v>
      </c>
      <c r="C17">
        <f t="shared" ref="C17:J17" si="2">C12/3</f>
        <v>1.1053296449606618</v>
      </c>
      <c r="D17">
        <f t="shared" si="2"/>
        <v>1.1138010252755457</v>
      </c>
      <c r="E17">
        <f t="shared" si="2"/>
        <v>1.1293473040153732</v>
      </c>
      <c r="F17">
        <f t="shared" si="2"/>
        <v>1.1468541457578894</v>
      </c>
      <c r="G17">
        <f t="shared" si="2"/>
        <v>1.5408870531769052</v>
      </c>
      <c r="H17">
        <f t="shared" si="2"/>
        <v>5.5971714518629705</v>
      </c>
      <c r="I17">
        <f t="shared" si="2"/>
        <v>7.3522020432036577</v>
      </c>
      <c r="J17">
        <f t="shared" si="2"/>
        <v>2.6666666666666665</v>
      </c>
    </row>
    <row r="18" spans="1:10" ht="20.100000000000001" customHeight="1"/>
    <row r="19" spans="1:10" ht="20.100000000000001" customHeight="1" thickBot="1">
      <c r="B19" t="s">
        <v>24</v>
      </c>
      <c r="C19" s="4" t="s">
        <v>21</v>
      </c>
    </row>
    <row r="20" spans="1:10" ht="20.100000000000001" customHeight="1" thickTop="1"/>
    <row r="21" spans="1:10" ht="20.100000000000001" customHeight="1">
      <c r="C21">
        <f>290.79*0.9*G17/G4</f>
        <v>1.6691408151849203</v>
      </c>
    </row>
    <row r="22" spans="1:10" ht="20.100000000000001" customHeight="1"/>
    <row r="23" spans="1:10" ht="20.100000000000001" customHeight="1"/>
    <row r="24" spans="1:10" ht="20.100000000000001" customHeight="1"/>
    <row r="25" spans="1:10" ht="20.100000000000001" customHeight="1"/>
    <row r="26" spans="1:10" ht="20.100000000000001" customHeight="1"/>
    <row r="27" spans="1:10" ht="20.100000000000001" customHeight="1"/>
  </sheetData>
  <phoneticPr fontId="3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AF3-2E75-465F-854E-3B554ED04191}">
  <dimension ref="B3:B19"/>
  <sheetViews>
    <sheetView workbookViewId="0">
      <selection activeCell="E22" sqref="E22"/>
    </sheetView>
  </sheetViews>
  <sheetFormatPr baseColWidth="10" defaultRowHeight="15"/>
  <sheetData>
    <row r="3" spans="2:2">
      <c r="B3" t="s">
        <v>25</v>
      </c>
    </row>
    <row r="5" spans="2:2">
      <c r="B5" t="s">
        <v>26</v>
      </c>
    </row>
    <row r="7" spans="2:2">
      <c r="B7" t="s">
        <v>27</v>
      </c>
    </row>
    <row r="9" spans="2:2">
      <c r="B9" t="s">
        <v>28</v>
      </c>
    </row>
    <row r="11" spans="2:2">
      <c r="B11" t="s">
        <v>29</v>
      </c>
    </row>
    <row r="13" spans="2:2">
      <c r="B13" t="s">
        <v>30</v>
      </c>
    </row>
    <row r="15" spans="2:2">
      <c r="B15" t="s">
        <v>31</v>
      </c>
    </row>
    <row r="17" spans="2:2">
      <c r="B17" t="s">
        <v>32</v>
      </c>
    </row>
    <row r="19" spans="2:2">
      <c r="B19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HeOx-1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Zhijun</dc:creator>
  <cp:lastModifiedBy>Uwe Wellmann</cp:lastModifiedBy>
  <cp:lastPrinted>2025-10-08T11:00:39Z</cp:lastPrinted>
  <dcterms:created xsi:type="dcterms:W3CDTF">2020-12-02T15:22:24Z</dcterms:created>
  <dcterms:modified xsi:type="dcterms:W3CDTF">2025-11-18T12:25:29Z</dcterms:modified>
</cp:coreProperties>
</file>